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 d'emploi" sheetId="1" state="visible" r:id="rId3"/>
    <sheet name="Scénarios opérationnels" sheetId="2" state="visible" r:id="rId4"/>
    <sheet name="Actions élémentaires" sheetId="3" state="visible" r:id="rId5"/>
    <sheet name="Échelle de vraisemblance"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<sst xmlns="http://schemas.openxmlformats.org/spreadsheetml/2006/main" count="213" uniqueCount="127">
  <si>
    <t xml:space="preserve">EBIOS RM · Atelier 4 : scénarios opérationnels · Orséa Banque</t>
  </si>
  <si>
    <t xml:space="preserve">Chaque scénario stratégique de l'atelier 3 est décliné en mode opératoire, décrit en 4 actions élémentaires selon la séquence Connaître, Rentrer, Trouver, Exploiter.</t>
  </si>
  <si>
    <t xml:space="preserve">Cotation : méthode express (on évalue le mode opératoire le plus vraisemblable). Gravité reprise de l'événement redouté (atelier 1).</t>
  </si>
  <si>
    <t xml:space="preserve">Cellules en bleu : cotations saisies (V et G de 1 à 4). Le niveau de risque se calcule automatiquement : V + G ≥ 7 = Élevé, 5 ou 6 = Moyen, ≤ 4 = Faible.</t>
  </si>
  <si>
    <t xml:space="preserve">Scénario</t>
  </si>
  <si>
    <t xml:space="preserve">Scénario stratégique</t>
  </si>
  <si>
    <t xml:space="preserve">Chemin d'attaque</t>
  </si>
  <si>
    <t xml:space="preserve">Partie prenante</t>
  </si>
  <si>
    <t xml:space="preserve">Mode opératoire</t>
  </si>
  <si>
    <t xml:space="preserve">Vraisemblance (1-4)</t>
  </si>
  <si>
    <t xml:space="preserve">Libellé V</t>
  </si>
  <si>
    <t xml:space="preserve">Gravité (1-4)</t>
  </si>
  <si>
    <t xml:space="preserve">Libellé G</t>
  </si>
  <si>
    <t xml:space="preserve">Niveau de risque</t>
  </si>
  <si>
    <t xml:space="preserve">Justification de la vraisemblance</t>
  </si>
  <si>
    <t xml:space="preserve">CA_01</t>
  </si>
  <si>
    <t xml:space="preserve">SS_01 Cybercriminel, fraude aux paiements</t>
  </si>
  <si>
    <t xml:space="preserve">Phishing des clients</t>
  </si>
  <si>
    <t xml:space="preserve">Clients</t>
  </si>
  <si>
    <t xml:space="preserve">MO.01 Fraude carte par phishing et faux conseiller</t>
  </si>
  <si>
    <t xml:space="preserve">La fraude au faux conseiller est massive et documentée en France ; elle ne demande pas de compétence technique avancée, les listes de clients circulent après des fuites de données et la maturité cyber des clients est faible.</t>
  </si>
  <si>
    <t xml:space="preserve">CA_02</t>
  </si>
  <si>
    <t xml:space="preserve">Compromission du processeur de paiement</t>
  </si>
  <si>
    <t xml:space="preserve">Processeur de paiement carte</t>
  </si>
  <si>
    <t xml:space="preserve">MO.02 Cash-out via le processeur compromis</t>
  </si>
  <si>
    <t xml:space="preserve">Le phishing des employés est réaliste, mais la suite est très exigeante : le processeur, certifié PCI DSS, cloisonne et surveille son système d'autorisation. Attaque déjà observée mais rare.</t>
  </si>
  <si>
    <t xml:space="preserve">CA_03</t>
  </si>
  <si>
    <t xml:space="preserve">SS_02 Rançongiciel, extorsion</t>
  </si>
  <si>
    <t xml:space="preserve">Phishing des collaborateurs</t>
  </si>
  <si>
    <t xml:space="preserve">Collaborateurs d'Orséa</t>
  </si>
  <si>
    <t xml:space="preserve">MO.03 Rançongiciel via phishing des collaborateurs</t>
  </si>
  <si>
    <t xml:space="preserve">Les groupes de rançongiciel ciblent le secteur financier et il suffit qu'un collaborateur sur 150 se fasse piéger. Le scénario exige toutefois des compétences pour obtenir des droits d'administrateur et neutraliser les sauvegardes.</t>
  </si>
  <si>
    <t xml:space="preserve">CA_04</t>
  </si>
  <si>
    <t xml:space="preserve">Compromission de l'éditeur du core banking</t>
  </si>
  <si>
    <t xml:space="preserve">Éditeur du core banking (SaaS)</t>
  </si>
  <si>
    <t xml:space="preserve">MO.04 Mise à jour piégée de l'éditeur</t>
  </si>
  <si>
    <t xml:space="preserve">Une attaque par la chaîne d'approvisionnement est très rentable (un éditeur piraté donne accès à plusieurs banques) mais demande des moyens importants. L'éditeur est certifié et audité.</t>
  </si>
  <si>
    <t xml:space="preserve">CA_05</t>
  </si>
  <si>
    <t xml:space="preserve">SS_03 Initié malveillant, abus d'accès</t>
  </si>
  <si>
    <t xml:space="preserve">Corruption par agent</t>
  </si>
  <si>
    <t xml:space="preserve">Support client externalisé</t>
  </si>
  <si>
    <t xml:space="preserve">MO.05 Agent du support corrompu</t>
  </si>
  <si>
    <t xml:space="preserve">Aucune mesure n'empêche aujourd'hui un agent de modifier les coordonnées d'un client. Le prestataire a une maturité faible (forte rotation, nombreux accès humains). Le scénario suppose de recruter un agent complice.</t>
  </si>
  <si>
    <t xml:space="preserve">CA_06</t>
  </si>
  <si>
    <t xml:space="preserve">SS_04 Blanchiment, comptes mules</t>
  </si>
  <si>
    <t xml:space="preserve">Comptes mules pour blanchiment</t>
  </si>
  <si>
    <t xml:space="preserve">Prestataire KYC</t>
  </si>
  <si>
    <t xml:space="preserve">MO.06 Comptes ouverts avec faux documents</t>
  </si>
  <si>
    <t xml:space="preserve">Les faux documents et les deepfakes se multiplient et une néobanque ouvre tous ses comptes à distance. Le prestataire KYC, mature, bloque une partie des tentatives, mais des comptes frauduleux sont attendus.</t>
  </si>
  <si>
    <t xml:space="preserve">CA_07</t>
  </si>
  <si>
    <t xml:space="preserve">Mules par le biais de vrais clients</t>
  </si>
  <si>
    <t xml:space="preserve">MO.07 Recrutement de mules</t>
  </si>
  <si>
    <t xml:space="preserve">Le recrutement de mules sur les réseaux sociaux est massif. Les personnes recrutées ouvrent des comptes avec leur vraie identité : le KYC ne peut pas détecter la fraude. Sur 200 000 clients, des comptes mules sont attendus en permanence.</t>
  </si>
  <si>
    <t xml:space="preserve">Action</t>
  </si>
  <si>
    <t xml:space="preserve">Étape de l'attaque</t>
  </si>
  <si>
    <t xml:space="preserve">Description</t>
  </si>
  <si>
    <t xml:space="preserve">AE_01</t>
  </si>
  <si>
    <t xml:space="preserve">Connaître (reconnaissance)</t>
  </si>
  <si>
    <t xml:space="preserve">Achat de listes de clients issues de fuites de données</t>
  </si>
  <si>
    <t xml:space="preserve">AE_02</t>
  </si>
  <si>
    <t xml:space="preserve">Rentrer (accès initial)</t>
  </si>
  <si>
    <t xml:space="preserve">SMS de phishing vers un faux site Orséa</t>
  </si>
  <si>
    <t xml:space="preserve">AE_03</t>
  </si>
  <si>
    <t xml:space="preserve">Trouver (découverte)</t>
  </si>
  <si>
    <t xml:space="preserve">Appel d'un faux conseiller pour faire valider une opération</t>
  </si>
  <si>
    <t xml:space="preserve">AE_04</t>
  </si>
  <si>
    <t xml:space="preserve">Exploiter (exploitation)</t>
  </si>
  <si>
    <t xml:space="preserve">Ajout de la carte à un portefeuille mobile et paiements frauduleux</t>
  </si>
  <si>
    <t xml:space="preserve">AE_05</t>
  </si>
  <si>
    <t xml:space="preserve">Identification du processeur via les informations publiques</t>
  </si>
  <si>
    <t xml:space="preserve">AE_06</t>
  </si>
  <si>
    <t xml:space="preserve">Phishing des employés du processeur et compromission d'un poste</t>
  </si>
  <si>
    <t xml:space="preserve">AE_07</t>
  </si>
  <si>
    <t xml:space="preserve">Progression jusqu'au système d'autorisation des paiements</t>
  </si>
  <si>
    <t xml:space="preserve">AE_08</t>
  </si>
  <si>
    <t xml:space="preserve">Levée des plafonds, désactivation de l'anti-fraude et cash-out massif</t>
  </si>
  <si>
    <t xml:space="preserve">AE_09</t>
  </si>
  <si>
    <t xml:space="preserve">Repérage des collaborateurs d'Orséa</t>
  </si>
  <si>
    <t xml:space="preserve">AE_10</t>
  </si>
  <si>
    <t xml:space="preserve">Phishing des collaborateurs et compromission d'un poste</t>
  </si>
  <si>
    <t xml:space="preserve">AE_11</t>
  </si>
  <si>
    <t xml:space="preserve">Élévation de privilèges et repérage du SI</t>
  </si>
  <si>
    <t xml:space="preserve">AE_12</t>
  </si>
  <si>
    <t xml:space="preserve">Exfiltration, destruction des sauvegardes et chiffrement</t>
  </si>
  <si>
    <t xml:space="preserve">AE_13</t>
  </si>
  <si>
    <t xml:space="preserve">Identification de l'éditeur du core banking et de ses clients bancaires</t>
  </si>
  <si>
    <t xml:space="preserve">AE_14</t>
  </si>
  <si>
    <t xml:space="preserve">Compromission de l'éditeur par phishing d'un développeur</t>
  </si>
  <si>
    <t xml:space="preserve">AE_15</t>
  </si>
  <si>
    <t xml:space="preserve">Accès à la chaîne de production des mises à jour de l'éditeur</t>
  </si>
  <si>
    <t xml:space="preserve">AE_16</t>
  </si>
  <si>
    <t xml:space="preserve">Diffusion d'une mise à jour piégée chez Orséa, exfiltration et chiffrement</t>
  </si>
  <si>
    <t xml:space="preserve">AE_17</t>
  </si>
  <si>
    <t xml:space="preserve">Repérage des agents du centre d'appel prestataire sur LinkedIn</t>
  </si>
  <si>
    <t xml:space="preserve">AE_18</t>
  </si>
  <si>
    <t xml:space="preserve">Corruption d'un agent disposant d'accès légitimes</t>
  </si>
  <si>
    <t xml:space="preserve">AE_19</t>
  </si>
  <si>
    <t xml:space="preserve">Repérage des comptes à fort solde dans l'outil du support</t>
  </si>
  <si>
    <t xml:space="preserve">AE_20</t>
  </si>
  <si>
    <t xml:space="preserve">Modification des coordonnées clients et revente des données</t>
  </si>
  <si>
    <t xml:space="preserve">AE_21</t>
  </si>
  <si>
    <t xml:space="preserve">Étude du parcours d'ouverture de compte et des justificatifs exigés</t>
  </si>
  <si>
    <t xml:space="preserve">AE_22</t>
  </si>
  <si>
    <t xml:space="preserve">Dépôt de dossiers avec identités volées ou documents falsifiés</t>
  </si>
  <si>
    <t xml:space="preserve">AE_23</t>
  </si>
  <si>
    <t xml:space="preserve">Repérage des dossiers qui passent la vérification du prestataire KYC</t>
  </si>
  <si>
    <t xml:space="preserve">AE_24</t>
  </si>
  <si>
    <t xml:space="preserve">Utilisation des comptes pour faire transiter et retirer des fonds illicites</t>
  </si>
  <si>
    <t xml:space="preserve">AE_25</t>
  </si>
  <si>
    <t xml:space="preserve">Repérage de personnes vulnérables sur les réseaux sociaux</t>
  </si>
  <si>
    <t xml:space="preserve">AE_26</t>
  </si>
  <si>
    <t xml:space="preserve">Recrutement contre rémunération via de fausses offres d'« argent facile »</t>
  </si>
  <si>
    <t xml:space="preserve">AE_27</t>
  </si>
  <si>
    <t xml:space="preserve">Ouverture ou prêt de comptes Orséa par les personnes recrutées</t>
  </si>
  <si>
    <t xml:space="preserve">AE_28</t>
  </si>
  <si>
    <t xml:space="preserve">Transit de fonds illicites par ces comptes avant retrait</t>
  </si>
  <si>
    <t xml:space="preserve">Niveau</t>
  </si>
  <si>
    <t xml:space="preserve">Libellé</t>
  </si>
  <si>
    <t xml:space="preserve">Définition</t>
  </si>
  <si>
    <t xml:space="preserve">Peu vraisemblable</t>
  </si>
  <si>
    <t xml:space="preserve">Le mode opératoire a peu de chances d'aboutir ; il demande des moyens très importants.</t>
  </si>
  <si>
    <t xml:space="preserve">Vraisemblable</t>
  </si>
  <si>
    <t xml:space="preserve">Le mode opératoire peut aboutir ; il a déjà été observé mais reste rare.</t>
  </si>
  <si>
    <t xml:space="preserve">Très vraisemblable</t>
  </si>
  <si>
    <t xml:space="preserve">Le mode opératoire a de fortes chances d'aboutir ; il est courant dans le secteur.</t>
  </si>
  <si>
    <t xml:space="preserve">Quasi certain</t>
  </si>
  <si>
    <t xml:space="preserve">Le mode opératoire va très probablement aboutir ; il est massif et peu exigeant.</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</si>
</sst>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11"/>
      <name val="Arial"/>
      <family val="0"/>
      <charset val="1"/>
    </font>
    <font>
      <b val="true"/>
      <sz val="11"/>
      <color rgb="FFFFFFFF"/>
      <name val="Arial"/>
      <family val="0"/>
      <charset val="1"/>
    </font>
    <font>
      <sz val="10"/>
      <name val="Arial"/>
      <family val="0"/>
      <charset val="1"/>
    </font>
    <font>
      <sz val="10"/>
      <color rgb="FF0000FF"/>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8CBAD"/>
        </patternFill>
      </fill>
    </dxf>
    <dxf>
      <fill>
        <patternFill>
          <bgColor rgb="FFFFE699"/>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6.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4" customFormat="false" ht="15" hidden="false" customHeight="false" outlineLevel="0" collapsed="false">
      <c r="A4" s="2" t="s">
        <v>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3" min="2" style="0" width="30"/>
    <col collapsed="false" customWidth="true" hidden="false" outlineLevel="0" max="4" min="4" style="0" width="24"/>
    <col collapsed="false" customWidth="true" hidden="false" outlineLevel="0" max="5" min="5" style="0" width="34"/>
    <col collapsed="false" customWidth="true" hidden="false" outlineLevel="0" max="6" min="6" style="0" width="12"/>
    <col collapsed="false" customWidth="true" hidden="false" outlineLevel="0" max="7" min="7" style="0" width="18"/>
    <col collapsed="false" customWidth="true" hidden="false" outlineLevel="0" max="8" min="8" style="0" width="10"/>
    <col collapsed="false" customWidth="true" hidden="false" outlineLevel="0" max="9" min="9" style="0" width="13"/>
    <col collapsed="false" customWidth="true" hidden="false" outlineLevel="0" max="10" min="10" style="0" width="12"/>
    <col collapsed="false" customWidth="true" hidden="false" outlineLevel="0" max="11" min="11" style="0" width="70"/>
  </cols>
  <sheetData>
    <row r="1" customFormat="false" ht="26.85" hidden="false" customHeight="false" outlineLevel="0" collapsed="false">
      <c r="A1" s="3" t="s">
        <v>4</v>
      </c>
      <c r="B1" s="3" t="s">
        <v>5</v>
      </c>
      <c r="C1" s="3" t="s">
        <v>6</v>
      </c>
      <c r="D1" s="3" t="s">
        <v>7</v>
      </c>
      <c r="E1" s="3" t="s">
        <v>8</v>
      </c>
      <c r="F1" s="3" t="s">
        <v>9</v>
      </c>
      <c r="G1" s="3" t="s">
        <v>10</v>
      </c>
      <c r="H1" s="3" t="s">
        <v>11</v>
      </c>
      <c r="I1" s="3" t="s">
        <v>12</v>
      </c>
      <c r="J1" s="3" t="s">
        <v>13</v>
      </c>
      <c r="K1" s="3" t="s">
        <v>14</v>
      </c>
    </row>
    <row r="2" customFormat="false" ht="35.05" hidden="false" customHeight="false" outlineLevel="0" collapsed="false">
      <c r="A2" s="4" t="s">
        <v>15</v>
      </c>
      <c r="B2" s="4" t="s">
        <v>16</v>
      </c>
      <c r="C2" s="4" t="s">
        <v>17</v>
      </c>
      <c r="D2" s="4" t="s">
        <v>18</v>
      </c>
      <c r="E2" s="4" t="s">
        <v>19</v>
      </c>
      <c r="F2" s="5" t="n">
        <v>4</v>
      </c>
      <c r="G2" s="4" t="str">
        <f aca="false">CHOOSE(F2,"Peu vraisemblable","Vraisemblable","Très vraisemblable","Quasi certain")</f>
        <v>Quasi certain</v>
      </c>
      <c r="H2" s="5" t="n">
        <v>4</v>
      </c>
      <c r="I2" s="4" t="str">
        <f aca="false">CHOOSE(H2,"Mineure","Significative","Importante","Critique")</f>
        <v>Critique</v>
      </c>
      <c r="J2" s="4" t="str">
        <f aca="false">IF(F2+H2&gt;=7,"Élevé",IF(F2+H2&gt;=5,"Moyen","Faible"))</f>
        <v>Élevé</v>
      </c>
      <c r="K2" s="4" t="s">
        <v>20</v>
      </c>
    </row>
    <row r="3" customFormat="false" ht="35.05" hidden="false" customHeight="false" outlineLevel="0" collapsed="false">
      <c r="A3" s="4" t="s">
        <v>21</v>
      </c>
      <c r="B3" s="4" t="s">
        <v>16</v>
      </c>
      <c r="C3" s="4" t="s">
        <v>22</v>
      </c>
      <c r="D3" s="4" t="s">
        <v>23</v>
      </c>
      <c r="E3" s="4" t="s">
        <v>24</v>
      </c>
      <c r="F3" s="5" t="n">
        <v>2</v>
      </c>
      <c r="G3" s="4" t="str">
        <f aca="false">CHOOSE(F3,"Peu vraisemblable","Vraisemblable","Très vraisemblable","Quasi certain")</f>
        <v>Vraisemblable</v>
      </c>
      <c r="H3" s="5" t="n">
        <v>4</v>
      </c>
      <c r="I3" s="4" t="str">
        <f aca="false">CHOOSE(H3,"Mineure","Significative","Importante","Critique")</f>
        <v>Critique</v>
      </c>
      <c r="J3" s="4" t="str">
        <f aca="false">IF(F3+H3&gt;=7,"Élevé",IF(F3+H3&gt;=5,"Moyen","Faible"))</f>
        <v>Moyen</v>
      </c>
      <c r="K3" s="4" t="s">
        <v>25</v>
      </c>
    </row>
    <row r="4" customFormat="false" ht="35.05" hidden="false" customHeight="false" outlineLevel="0" collapsed="false">
      <c r="A4" s="4" t="s">
        <v>26</v>
      </c>
      <c r="B4" s="4" t="s">
        <v>27</v>
      </c>
      <c r="C4" s="4" t="s">
        <v>28</v>
      </c>
      <c r="D4" s="4" t="s">
        <v>29</v>
      </c>
      <c r="E4" s="4" t="s">
        <v>30</v>
      </c>
      <c r="F4" s="5" t="n">
        <v>3</v>
      </c>
      <c r="G4" s="4" t="str">
        <f aca="false">CHOOSE(F4,"Peu vraisemblable","Vraisemblable","Très vraisemblable","Quasi certain")</f>
        <v>Très vraisemblable</v>
      </c>
      <c r="H4" s="5" t="n">
        <v>4</v>
      </c>
      <c r="I4" s="4" t="str">
        <f aca="false">CHOOSE(H4,"Mineure","Significative","Importante","Critique")</f>
        <v>Critique</v>
      </c>
      <c r="J4" s="4" t="str">
        <f aca="false">IF(F4+H4&gt;=7,"Élevé",IF(F4+H4&gt;=5,"Moyen","Faible"))</f>
        <v>Élevé</v>
      </c>
      <c r="K4" s="4" t="s">
        <v>31</v>
      </c>
    </row>
    <row r="5" customFormat="false" ht="35.05" hidden="false" customHeight="false" outlineLevel="0" collapsed="false">
      <c r="A5" s="4" t="s">
        <v>32</v>
      </c>
      <c r="B5" s="4" t="s">
        <v>27</v>
      </c>
      <c r="C5" s="4" t="s">
        <v>33</v>
      </c>
      <c r="D5" s="4" t="s">
        <v>34</v>
      </c>
      <c r="E5" s="4" t="s">
        <v>35</v>
      </c>
      <c r="F5" s="5" t="n">
        <v>2</v>
      </c>
      <c r="G5" s="4" t="str">
        <f aca="false">CHOOSE(F5,"Peu vraisemblable","Vraisemblable","Très vraisemblable","Quasi certain")</f>
        <v>Vraisemblable</v>
      </c>
      <c r="H5" s="5" t="n">
        <v>4</v>
      </c>
      <c r="I5" s="4" t="str">
        <f aca="false">CHOOSE(H5,"Mineure","Significative","Importante","Critique")</f>
        <v>Critique</v>
      </c>
      <c r="J5" s="4" t="str">
        <f aca="false">IF(F5+H5&gt;=7,"Élevé",IF(F5+H5&gt;=5,"Moyen","Faible"))</f>
        <v>Moyen</v>
      </c>
      <c r="K5" s="4" t="s">
        <v>36</v>
      </c>
    </row>
    <row r="6" customFormat="false" ht="35.05" hidden="false" customHeight="false" outlineLevel="0" collapsed="false">
      <c r="A6" s="4" t="s">
        <v>37</v>
      </c>
      <c r="B6" s="4" t="s">
        <v>38</v>
      </c>
      <c r="C6" s="4" t="s">
        <v>39</v>
      </c>
      <c r="D6" s="4" t="s">
        <v>40</v>
      </c>
      <c r="E6" s="4" t="s">
        <v>41</v>
      </c>
      <c r="F6" s="5" t="n">
        <v>3</v>
      </c>
      <c r="G6" s="4" t="str">
        <f aca="false">CHOOSE(F6,"Peu vraisemblable","Vraisemblable","Très vraisemblable","Quasi certain")</f>
        <v>Très vraisemblable</v>
      </c>
      <c r="H6" s="5" t="n">
        <v>4</v>
      </c>
      <c r="I6" s="4" t="str">
        <f aca="false">CHOOSE(H6,"Mineure","Significative","Importante","Critique")</f>
        <v>Critique</v>
      </c>
      <c r="J6" s="4" t="str">
        <f aca="false">IF(F6+H6&gt;=7,"Élevé",IF(F6+H6&gt;=5,"Moyen","Faible"))</f>
        <v>Élevé</v>
      </c>
      <c r="K6" s="4" t="s">
        <v>42</v>
      </c>
    </row>
    <row r="7" customFormat="false" ht="35.05" hidden="false" customHeight="false" outlineLevel="0" collapsed="false">
      <c r="A7" s="4" t="s">
        <v>43</v>
      </c>
      <c r="B7" s="4" t="s">
        <v>44</v>
      </c>
      <c r="C7" s="4" t="s">
        <v>45</v>
      </c>
      <c r="D7" s="4" t="s">
        <v>46</v>
      </c>
      <c r="E7" s="4" t="s">
        <v>47</v>
      </c>
      <c r="F7" s="5" t="n">
        <v>3</v>
      </c>
      <c r="G7" s="4" t="str">
        <f aca="false">CHOOSE(F7,"Peu vraisemblable","Vraisemblable","Très vraisemblable","Quasi certain")</f>
        <v>Très vraisemblable</v>
      </c>
      <c r="H7" s="5" t="n">
        <v>4</v>
      </c>
      <c r="I7" s="4" t="str">
        <f aca="false">CHOOSE(H7,"Mineure","Significative","Importante","Critique")</f>
        <v>Critique</v>
      </c>
      <c r="J7" s="4" t="str">
        <f aca="false">IF(F7+H7&gt;=7,"Élevé",IF(F7+H7&gt;=5,"Moyen","Faible"))</f>
        <v>Élevé</v>
      </c>
      <c r="K7" s="4" t="s">
        <v>48</v>
      </c>
    </row>
    <row r="8" customFormat="false" ht="35.05" hidden="false" customHeight="false" outlineLevel="0" collapsed="false">
      <c r="A8" s="4" t="s">
        <v>49</v>
      </c>
      <c r="B8" s="4" t="s">
        <v>44</v>
      </c>
      <c r="C8" s="4" t="s">
        <v>50</v>
      </c>
      <c r="D8" s="4" t="s">
        <v>18</v>
      </c>
      <c r="E8" s="4" t="s">
        <v>51</v>
      </c>
      <c r="F8" s="5" t="n">
        <v>4</v>
      </c>
      <c r="G8" s="4" t="str">
        <f aca="false">CHOOSE(F8,"Peu vraisemblable","Vraisemblable","Très vraisemblable","Quasi certain")</f>
        <v>Quasi certain</v>
      </c>
      <c r="H8" s="5" t="n">
        <v>4</v>
      </c>
      <c r="I8" s="4" t="str">
        <f aca="false">CHOOSE(H8,"Mineure","Significative","Importante","Critique")</f>
        <v>Critique</v>
      </c>
      <c r="J8" s="4" t="str">
        <f aca="false">IF(F8+H8&gt;=7,"Élevé",IF(F8+H8&gt;=5,"Moyen","Faible"))</f>
        <v>Élevé</v>
      </c>
      <c r="K8" s="4" t="s">
        <v>52</v>
      </c>
    </row>
  </sheetData>
  <conditionalFormatting sqref="J2:J8">
    <cfRule type="expression" priority="2" aboveAverage="0" equalAverage="0" bottom="0" percent="0" rank="0" text="" dxfId="0">
      <formula>$J2="Élevé"</formula>
    </cfRule>
    <cfRule type="expression" priority="3" aboveAverage="0" equalAverage="0" bottom="0" percent="0" rank="0" text="" dxfId="1">
      <formula>$J2="Moyen"</formula>
    </cfRule>
    <cfRule type="expression" priority="4" aboveAverage="0" equalAverage="0" bottom="0" percent="0" rank="0" text="" dxfId="2">
      <formula>$J2="Faible"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0"/>
    <col collapsed="false" customWidth="true" hidden="false" outlineLevel="0" max="3" min="3" style="0" width="9"/>
    <col collapsed="false" customWidth="true" hidden="false" outlineLevel="0" max="4" min="4" style="0" width="26"/>
    <col collapsed="false" customWidth="true" hidden="false" outlineLevel="0" max="5" min="5" style="0" width="70"/>
  </cols>
  <sheetData>
    <row r="1" customFormat="false" ht="26.85" hidden="false" customHeight="false" outlineLevel="0" collapsed="false">
      <c r="A1" s="3" t="s">
        <v>53</v>
      </c>
      <c r="B1" s="3" t="s">
        <v>8</v>
      </c>
      <c r="C1" s="3" t="s">
        <v>4</v>
      </c>
      <c r="D1" s="3" t="s">
        <v>54</v>
      </c>
      <c r="E1" s="3" t="s">
        <v>55</v>
      </c>
    </row>
    <row r="2" customFormat="false" ht="23.85" hidden="false" customHeight="false" outlineLevel="0" collapsed="false">
      <c r="A2" s="4" t="s">
        <v>56</v>
      </c>
      <c r="B2" s="4" t="s">
        <v>19</v>
      </c>
      <c r="C2" s="4" t="s">
        <v>15</v>
      </c>
      <c r="D2" s="4" t="s">
        <v>57</v>
      </c>
      <c r="E2" s="4" t="s">
        <v>58</v>
      </c>
    </row>
    <row r="3" customFormat="false" ht="23.85" hidden="false" customHeight="false" outlineLevel="0" collapsed="false">
      <c r="A3" s="4" t="s">
        <v>59</v>
      </c>
      <c r="B3" s="4" t="s">
        <v>19</v>
      </c>
      <c r="C3" s="4" t="s">
        <v>15</v>
      </c>
      <c r="D3" s="4" t="s">
        <v>60</v>
      </c>
      <c r="E3" s="4" t="s">
        <v>61</v>
      </c>
    </row>
    <row r="4" customFormat="false" ht="23.85" hidden="false" customHeight="false" outlineLevel="0" collapsed="false">
      <c r="A4" s="4" t="s">
        <v>62</v>
      </c>
      <c r="B4" s="4" t="s">
        <v>19</v>
      </c>
      <c r="C4" s="4" t="s">
        <v>15</v>
      </c>
      <c r="D4" s="4" t="s">
        <v>63</v>
      </c>
      <c r="E4" s="4" t="s">
        <v>64</v>
      </c>
    </row>
    <row r="5" customFormat="false" ht="23.85" hidden="false" customHeight="false" outlineLevel="0" collapsed="false">
      <c r="A5" s="4" t="s">
        <v>65</v>
      </c>
      <c r="B5" s="4" t="s">
        <v>19</v>
      </c>
      <c r="C5" s="4" t="s">
        <v>15</v>
      </c>
      <c r="D5" s="4" t="s">
        <v>66</v>
      </c>
      <c r="E5" s="4" t="s">
        <v>67</v>
      </c>
    </row>
    <row r="6" customFormat="false" ht="15" hidden="false" customHeight="false" outlineLevel="0" collapsed="false">
      <c r="A6" s="4" t="s">
        <v>68</v>
      </c>
      <c r="B6" s="4" t="s">
        <v>24</v>
      </c>
      <c r="C6" s="4" t="s">
        <v>21</v>
      </c>
      <c r="D6" s="4" t="s">
        <v>57</v>
      </c>
      <c r="E6" s="4" t="s">
        <v>69</v>
      </c>
    </row>
    <row r="7" customFormat="false" ht="15" hidden="false" customHeight="false" outlineLevel="0" collapsed="false">
      <c r="A7" s="4" t="s">
        <v>70</v>
      </c>
      <c r="B7" s="4" t="s">
        <v>24</v>
      </c>
      <c r="C7" s="4" t="s">
        <v>21</v>
      </c>
      <c r="D7" s="4" t="s">
        <v>60</v>
      </c>
      <c r="E7" s="4" t="s">
        <v>71</v>
      </c>
    </row>
    <row r="8" customFormat="false" ht="15" hidden="false" customHeight="false" outlineLevel="0" collapsed="false">
      <c r="A8" s="4" t="s">
        <v>72</v>
      </c>
      <c r="B8" s="4" t="s">
        <v>24</v>
      </c>
      <c r="C8" s="4" t="s">
        <v>21</v>
      </c>
      <c r="D8" s="4" t="s">
        <v>63</v>
      </c>
      <c r="E8" s="4" t="s">
        <v>73</v>
      </c>
    </row>
    <row r="9" customFormat="false" ht="15" hidden="false" customHeight="false" outlineLevel="0" collapsed="false">
      <c r="A9" s="4" t="s">
        <v>74</v>
      </c>
      <c r="B9" s="4" t="s">
        <v>24</v>
      </c>
      <c r="C9" s="4" t="s">
        <v>21</v>
      </c>
      <c r="D9" s="4" t="s">
        <v>66</v>
      </c>
      <c r="E9" s="4" t="s">
        <v>75</v>
      </c>
    </row>
    <row r="10" customFormat="false" ht="23.85" hidden="false" customHeight="false" outlineLevel="0" collapsed="false">
      <c r="A10" s="4" t="s">
        <v>76</v>
      </c>
      <c r="B10" s="4" t="s">
        <v>30</v>
      </c>
      <c r="C10" s="4" t="s">
        <v>26</v>
      </c>
      <c r="D10" s="4" t="s">
        <v>57</v>
      </c>
      <c r="E10" s="4" t="s">
        <v>77</v>
      </c>
    </row>
    <row r="11" customFormat="false" ht="23.85" hidden="false" customHeight="false" outlineLevel="0" collapsed="false">
      <c r="A11" s="4" t="s">
        <v>78</v>
      </c>
      <c r="B11" s="4" t="s">
        <v>30</v>
      </c>
      <c r="C11" s="4" t="s">
        <v>26</v>
      </c>
      <c r="D11" s="4" t="s">
        <v>60</v>
      </c>
      <c r="E11" s="4" t="s">
        <v>79</v>
      </c>
    </row>
    <row r="12" customFormat="false" ht="23.85" hidden="false" customHeight="false" outlineLevel="0" collapsed="false">
      <c r="A12" s="4" t="s">
        <v>80</v>
      </c>
      <c r="B12" s="4" t="s">
        <v>30</v>
      </c>
      <c r="C12" s="4" t="s">
        <v>26</v>
      </c>
      <c r="D12" s="4" t="s">
        <v>63</v>
      </c>
      <c r="E12" s="4" t="s">
        <v>81</v>
      </c>
    </row>
    <row r="13" customFormat="false" ht="23.85" hidden="false" customHeight="false" outlineLevel="0" collapsed="false">
      <c r="A13" s="4" t="s">
        <v>82</v>
      </c>
      <c r="B13" s="4" t="s">
        <v>30</v>
      </c>
      <c r="C13" s="4" t="s">
        <v>26</v>
      </c>
      <c r="D13" s="4" t="s">
        <v>66</v>
      </c>
      <c r="E13" s="4" t="s">
        <v>83</v>
      </c>
    </row>
    <row r="14" customFormat="false" ht="15" hidden="false" customHeight="false" outlineLevel="0" collapsed="false">
      <c r="A14" s="4" t="s">
        <v>84</v>
      </c>
      <c r="B14" s="4" t="s">
        <v>35</v>
      </c>
      <c r="C14" s="4" t="s">
        <v>32</v>
      </c>
      <c r="D14" s="4" t="s">
        <v>57</v>
      </c>
      <c r="E14" s="4" t="s">
        <v>85</v>
      </c>
    </row>
    <row r="15" customFormat="false" ht="15" hidden="false" customHeight="false" outlineLevel="0" collapsed="false">
      <c r="A15" s="4" t="s">
        <v>86</v>
      </c>
      <c r="B15" s="4" t="s">
        <v>35</v>
      </c>
      <c r="C15" s="4" t="s">
        <v>32</v>
      </c>
      <c r="D15" s="4" t="s">
        <v>60</v>
      </c>
      <c r="E15" s="4" t="s">
        <v>87</v>
      </c>
    </row>
    <row r="16" customFormat="false" ht="15" hidden="false" customHeight="false" outlineLevel="0" collapsed="false">
      <c r="A16" s="4" t="s">
        <v>88</v>
      </c>
      <c r="B16" s="4" t="s">
        <v>35</v>
      </c>
      <c r="C16" s="4" t="s">
        <v>32</v>
      </c>
      <c r="D16" s="4" t="s">
        <v>63</v>
      </c>
      <c r="E16" s="4" t="s">
        <v>89</v>
      </c>
    </row>
    <row r="17" customFormat="false" ht="15" hidden="false" customHeight="false" outlineLevel="0" collapsed="false">
      <c r="A17" s="4" t="s">
        <v>90</v>
      </c>
      <c r="B17" s="4" t="s">
        <v>35</v>
      </c>
      <c r="C17" s="4" t="s">
        <v>32</v>
      </c>
      <c r="D17" s="4" t="s">
        <v>66</v>
      </c>
      <c r="E17" s="4" t="s">
        <v>91</v>
      </c>
    </row>
    <row r="18" customFormat="false" ht="15" hidden="false" customHeight="false" outlineLevel="0" collapsed="false">
      <c r="A18" s="4" t="s">
        <v>92</v>
      </c>
      <c r="B18" s="4" t="s">
        <v>41</v>
      </c>
      <c r="C18" s="4" t="s">
        <v>37</v>
      </c>
      <c r="D18" s="4" t="s">
        <v>57</v>
      </c>
      <c r="E18" s="4" t="s">
        <v>93</v>
      </c>
    </row>
    <row r="19" customFormat="false" ht="15" hidden="false" customHeight="false" outlineLevel="0" collapsed="false">
      <c r="A19" s="4" t="s">
        <v>94</v>
      </c>
      <c r="B19" s="4" t="s">
        <v>41</v>
      </c>
      <c r="C19" s="4" t="s">
        <v>37</v>
      </c>
      <c r="D19" s="4" t="s">
        <v>60</v>
      </c>
      <c r="E19" s="4" t="s">
        <v>95</v>
      </c>
    </row>
    <row r="20" customFormat="false" ht="15" hidden="false" customHeight="false" outlineLevel="0" collapsed="false">
      <c r="A20" s="4" t="s">
        <v>96</v>
      </c>
      <c r="B20" s="4" t="s">
        <v>41</v>
      </c>
      <c r="C20" s="4" t="s">
        <v>37</v>
      </c>
      <c r="D20" s="4" t="s">
        <v>63</v>
      </c>
      <c r="E20" s="4" t="s">
        <v>97</v>
      </c>
    </row>
    <row r="21" customFormat="false" ht="15" hidden="false" customHeight="false" outlineLevel="0" collapsed="false">
      <c r="A21" s="4" t="s">
        <v>98</v>
      </c>
      <c r="B21" s="4" t="s">
        <v>41</v>
      </c>
      <c r="C21" s="4" t="s">
        <v>37</v>
      </c>
      <c r="D21" s="4" t="s">
        <v>66</v>
      </c>
      <c r="E21" s="4" t="s">
        <v>99</v>
      </c>
    </row>
    <row r="22" customFormat="false" ht="15" hidden="false" customHeight="false" outlineLevel="0" collapsed="false">
      <c r="A22" s="4" t="s">
        <v>100</v>
      </c>
      <c r="B22" s="4" t="s">
        <v>47</v>
      </c>
      <c r="C22" s="4" t="s">
        <v>43</v>
      </c>
      <c r="D22" s="4" t="s">
        <v>57</v>
      </c>
      <c r="E22" s="4" t="s">
        <v>101</v>
      </c>
    </row>
    <row r="23" customFormat="false" ht="15" hidden="false" customHeight="false" outlineLevel="0" collapsed="false">
      <c r="A23" s="4" t="s">
        <v>102</v>
      </c>
      <c r="B23" s="4" t="s">
        <v>47</v>
      </c>
      <c r="C23" s="4" t="s">
        <v>43</v>
      </c>
      <c r="D23" s="4" t="s">
        <v>60</v>
      </c>
      <c r="E23" s="4" t="s">
        <v>103</v>
      </c>
    </row>
    <row r="24" customFormat="false" ht="15" hidden="false" customHeight="false" outlineLevel="0" collapsed="false">
      <c r="A24" s="4" t="s">
        <v>104</v>
      </c>
      <c r="B24" s="4" t="s">
        <v>47</v>
      </c>
      <c r="C24" s="4" t="s">
        <v>43</v>
      </c>
      <c r="D24" s="4" t="s">
        <v>63</v>
      </c>
      <c r="E24" s="4" t="s">
        <v>105</v>
      </c>
    </row>
    <row r="25" customFormat="false" ht="15" hidden="false" customHeight="false" outlineLevel="0" collapsed="false">
      <c r="A25" s="4" t="s">
        <v>106</v>
      </c>
      <c r="B25" s="4" t="s">
        <v>47</v>
      </c>
      <c r="C25" s="4" t="s">
        <v>43</v>
      </c>
      <c r="D25" s="4" t="s">
        <v>66</v>
      </c>
      <c r="E25" s="4" t="s">
        <v>107</v>
      </c>
    </row>
    <row r="26" customFormat="false" ht="15" hidden="false" customHeight="false" outlineLevel="0" collapsed="false">
      <c r="A26" s="4" t="s">
        <v>108</v>
      </c>
      <c r="B26" s="4" t="s">
        <v>51</v>
      </c>
      <c r="C26" s="4" t="s">
        <v>49</v>
      </c>
      <c r="D26" s="4" t="s">
        <v>57</v>
      </c>
      <c r="E26" s="4" t="s">
        <v>109</v>
      </c>
    </row>
    <row r="27" customFormat="false" ht="15" hidden="false" customHeight="false" outlineLevel="0" collapsed="false">
      <c r="A27" s="4" t="s">
        <v>110</v>
      </c>
      <c r="B27" s="4" t="s">
        <v>51</v>
      </c>
      <c r="C27" s="4" t="s">
        <v>49</v>
      </c>
      <c r="D27" s="4" t="s">
        <v>60</v>
      </c>
      <c r="E27" s="4" t="s">
        <v>111</v>
      </c>
    </row>
    <row r="28" customFormat="false" ht="15" hidden="false" customHeight="false" outlineLevel="0" collapsed="false">
      <c r="A28" s="4" t="s">
        <v>112</v>
      </c>
      <c r="B28" s="4" t="s">
        <v>51</v>
      </c>
      <c r="C28" s="4" t="s">
        <v>49</v>
      </c>
      <c r="D28" s="4" t="s">
        <v>63</v>
      </c>
      <c r="E28" s="4" t="s">
        <v>113</v>
      </c>
    </row>
    <row r="29" customFormat="false" ht="15" hidden="false" customHeight="false" outlineLevel="0" collapsed="false">
      <c r="A29" s="4" t="s">
        <v>114</v>
      </c>
      <c r="B29" s="4" t="s">
        <v>51</v>
      </c>
      <c r="C29" s="4" t="s">
        <v>49</v>
      </c>
      <c r="D29" s="4" t="s">
        <v>66</v>
      </c>
      <c r="E29" s="4" t="s">
        <v>115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80"/>
  </cols>
  <sheetData>
    <row r="1" customFormat="false" ht="15" hidden="false" customHeight="false" outlineLevel="0" collapsed="false">
      <c r="A1" s="3" t="s">
        <v>116</v>
      </c>
      <c r="B1" s="3" t="s">
        <v>117</v>
      </c>
      <c r="C1" s="3" t="s">
        <v>118</v>
      </c>
    </row>
    <row r="2" customFormat="false" ht="15" hidden="false" customHeight="false" outlineLevel="0" collapsed="false">
      <c r="A2" s="4" t="n">
        <v>1</v>
      </c>
      <c r="B2" s="4" t="s">
        <v>119</v>
      </c>
      <c r="C2" s="4" t="s">
        <v>120</v>
      </c>
    </row>
    <row r="3" customFormat="false" ht="15" hidden="false" customHeight="false" outlineLevel="0" collapsed="false">
      <c r="A3" s="4" t="n">
        <v>2</v>
      </c>
      <c r="B3" s="4" t="s">
        <v>121</v>
      </c>
      <c r="C3" s="4" t="s">
        <v>122</v>
      </c>
    </row>
    <row r="4" customFormat="false" ht="15" hidden="false" customHeight="false" outlineLevel="0" collapsed="false">
      <c r="A4" s="4" t="n">
        <v>3</v>
      </c>
      <c r="B4" s="4" t="s">
        <v>123</v>
      </c>
      <c r="C4" s="4" t="s">
        <v>124</v>
      </c>
    </row>
    <row r="5" customFormat="false" ht="15" hidden="false" customHeight="false" outlineLevel="0" collapsed="false">
      <c r="A5" s="4" t="n">
        <v>4</v>
      </c>
      <c r="B5" s="4" t="s">
        <v>125</v>
      </c>
      <c r="C5" s="4" t="s">
        <v>126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2026-10-21T18:41:13Z</dcterms:created>
  <dc:creator>Ylayann Malouda Ribardiere</dc:creator>
  <dc:description/>
  <dc:language>en-US</dc:language>
  <cp:lastModifiedBy>Ylayann Malouda Ribardiere</cp:lastModifiedBy>
  <dcterms:modified xsi:type="dcterms:W3CDTF">2026-10-21T18:41:13Z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