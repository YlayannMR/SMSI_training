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Traitement des risques" sheetId="2" state="visible" r:id="rId4"/>
    <sheet name="Synthèse" sheetId="3" state="visible" r:id="rId5"/>
    <sheet name="Référentiel des mesu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<sst xmlns="http://schemas.openxmlformats.org/spreadsheetml/2006/main" count="150" uniqueCount="115">
  <si>
    <t xml:space="preserve">EBIOS RM · Atelier 5 : traitement du risque · Orséa Banque</t>
  </si>
  <si>
    <t xml:space="preserve">Pour chaque risque : niveau actuel (mesures existantes), stratégie de traitement, mesures prévues, niveau résiduel et acceptation par le propriétaire du risque (ISO 27001, clause 6.1.3 f).</t>
  </si>
  <si>
    <t xml:space="preserve">Seule M_01 (authentification forte des clients) est en place aujourd'hui : c'est la seule mesure existante. Les autres sont prévues dans le plan de traitement.</t>
  </si>
  <si>
    <t xml:space="preserve">Cellules en bleu : cotations saisies. Niveaux calculés : V + G ≥ 7 = Élevé, 5 ou 6 = Moyen, ≤ 4 = Faible.</t>
  </si>
  <si>
    <t xml:space="preserve">Risque</t>
  </si>
  <si>
    <t xml:space="preserve">Scénario</t>
  </si>
  <si>
    <t xml:space="preserve">V actuelle</t>
  </si>
  <si>
    <t xml:space="preserve">G actuelle</t>
  </si>
  <si>
    <t xml:space="preserve">Niveau actuel</t>
  </si>
  <si>
    <t xml:space="preserve">Stratégie</t>
  </si>
  <si>
    <t xml:space="preserve">Mesures existantes</t>
  </si>
  <si>
    <t xml:space="preserve">Mesures prévues</t>
  </si>
  <si>
    <t xml:space="preserve">V résiduelle</t>
  </si>
  <si>
    <t xml:space="preserve">G résiduelle</t>
  </si>
  <si>
    <t xml:space="preserve">Niveau résiduel</t>
  </si>
  <si>
    <t xml:space="preserve">Propriétaire du risque</t>
  </si>
  <si>
    <t xml:space="preserve">Décision</t>
  </si>
  <si>
    <t xml:space="preserve">Justification</t>
  </si>
  <si>
    <t xml:space="preserve">CA_01</t>
  </si>
  <si>
    <t xml:space="preserve">Fraude aux paiements par phishing des clients</t>
  </si>
  <si>
    <t xml:space="preserve">Réduire</t>
  </si>
  <si>
    <t xml:space="preserve">M_01</t>
  </si>
  <si>
    <t xml:space="preserve">M_02, M_03, M_04, M_05, M_16, M_19, M_20</t>
  </si>
  <si>
    <t xml:space="preserve">Directeur des opérations bancaires</t>
  </si>
  <si>
    <t xml:space="preserve">Acceptation du risque résiduel</t>
  </si>
  <si>
    <t xml:space="preserve">Les mesures dans l'appli (alertes, délai de 24h, détection des connexions, validation des coordonnées) empêchent l'exploitation d'identifiants volés ; la surveillance des transactions détecte la fraude. V4 → V2 ; G4 → G3 grâce à la détection précoce.</t>
  </si>
  <si>
    <t xml:space="preserve">CA_02</t>
  </si>
  <si>
    <t xml:space="preserve">Compromission du processeur de paiement</t>
  </si>
  <si>
    <t xml:space="preserve">Transférer</t>
  </si>
  <si>
    <t xml:space="preserve">Aucune</t>
  </si>
  <si>
    <t xml:space="preserve">M_09, M_16, M_21</t>
  </si>
  <si>
    <t xml:space="preserve">DSI</t>
  </si>
  <si>
    <t xml:space="preserve">Orséa ne maîtrise pas la sécurité du prestataire : l'impact financier est transféré par l'assurance, les clauses DORA imposent sécurité, audit et notification. Vraisemblance inchangée ; G4 → G3.</t>
  </si>
  <si>
    <t xml:space="preserve">CA_03</t>
  </si>
  <si>
    <t xml:space="preserve">Rançongiciel via phishing des collaborateurs</t>
  </si>
  <si>
    <t xml:space="preserve">M_12, M_13, M_14, M_15, M_16</t>
  </si>
  <si>
    <t xml:space="preserve">La sensibilisation réduit le clic, le MFA et l'EDR bloquent l'élévation de privilèges et le déploiement, les sauvegardes immuables permettent la restauration. V3 → V1 ; G4 → G3.</t>
  </si>
  <si>
    <t xml:space="preserve">CA_04</t>
  </si>
  <si>
    <t xml:space="preserve">Rançongiciel via l'éditeur du core banking</t>
  </si>
  <si>
    <t xml:space="preserve">M_09, M_10, M_12, M_13, M_14, M_16</t>
  </si>
  <si>
    <t xml:space="preserve">Les clauses DORA encadrent l'éditeur, les tests en préproduction détectent une mise à jour piégée, le MFA et l'EDR limitent l'intrusion, les sauvegardes garantissent la restauration. V2 → V1 ; G4 → G3.</t>
  </si>
  <si>
    <t xml:space="preserve">CA_05</t>
  </si>
  <si>
    <t xml:space="preserve">Agent du support corrompu</t>
  </si>
  <si>
    <t xml:space="preserve">M_06, M_07, M_08, M_14, M_19, M_22, M_23</t>
  </si>
  <si>
    <t xml:space="preserve">Directeur de la conformité</t>
  </si>
  <si>
    <t xml:space="preserve">Le moindre privilège et la validation à quatre yeux limitent ce qu'un agent peut faire seul ; la journalisation et le SOC détectent les accès anormaux ; les clauses engagent le prestataire. V3 → V2 ; G4 → G3.</t>
  </si>
  <si>
    <t xml:space="preserve">CA_06</t>
  </si>
  <si>
    <t xml:space="preserve">Comptes ouverts pour blanchir de l'argent</t>
  </si>
  <si>
    <t xml:space="preserve">M_17, M_18, M_19, M_20</t>
  </si>
  <si>
    <t xml:space="preserve">Le KYC renforcé bloque les fausses identités, les plafonds limitent les montants, la surveillance LCB-FT détecte les flux de transit. V3 → V2 ; G4 → G3.</t>
  </si>
  <si>
    <t xml:space="preserve">CA_07</t>
  </si>
  <si>
    <t xml:space="preserve">Clients recrutés comme mules</t>
  </si>
  <si>
    <t xml:space="preserve">M_03, M_18, M_19, M_20</t>
  </si>
  <si>
    <t xml:space="preserve">Le KYC ne bloque pas ce scénario car le titulaire est réel. La prévention réduit le recrutement, la surveillance LCB-FT détecte les flux, le délai et les plafonds limitent les montants. V4 → V2 ; G4 → G3.</t>
  </si>
  <si>
    <t xml:space="preserve">Niveau</t>
  </si>
  <si>
    <t xml:space="preserve">Avant traitement</t>
  </si>
  <si>
    <t xml:space="preserve">Après traitement</t>
  </si>
  <si>
    <t xml:space="preserve">Élevé</t>
  </si>
  <si>
    <t xml:space="preserve">Moyen</t>
  </si>
  <si>
    <t xml:space="preserve">Faible</t>
  </si>
  <si>
    <t xml:space="preserve">Total</t>
  </si>
  <si>
    <t xml:space="preserve">Mesure</t>
  </si>
  <si>
    <t xml:space="preserve">Intitulé</t>
  </si>
  <si>
    <t xml:space="preserve">Risques traités</t>
  </si>
  <si>
    <t xml:space="preserve">Authentification forte des clients</t>
  </si>
  <si>
    <t xml:space="preserve">CA_01, CA_07</t>
  </si>
  <si>
    <t xml:space="preserve">M_02</t>
  </si>
  <si>
    <t xml:space="preserve">Alertes anti-phishing dans l'appli et campagnes de sensibilisation</t>
  </si>
  <si>
    <t xml:space="preserve">M_03</t>
  </si>
  <si>
    <t xml:space="preserve">Délai de sécurité de 24h avant le premier virement vers un nouveau bénéficiaire</t>
  </si>
  <si>
    <t xml:space="preserve">M_04</t>
  </si>
  <si>
    <t xml:space="preserve">Détection des connexions inhabituelles</t>
  </si>
  <si>
    <t xml:space="preserve">M_05</t>
  </si>
  <si>
    <t xml:space="preserve">Validation par les clients de tout changement de coordonnées</t>
  </si>
  <si>
    <t xml:space="preserve">M_06</t>
  </si>
  <si>
    <t xml:space="preserve">Moindre privilège des agents du support</t>
  </si>
  <si>
    <t xml:space="preserve">M_07</t>
  </si>
  <si>
    <t xml:space="preserve">Journalisation et revue des actions du support</t>
  </si>
  <si>
    <t xml:space="preserve">M_08</t>
  </si>
  <si>
    <t xml:space="preserve">Clauses de sécurité du prestataire de support</t>
  </si>
  <si>
    <t xml:space="preserve">M_09</t>
  </si>
  <si>
    <t xml:space="preserve">Clauses contractuelles DORA</t>
  </si>
  <si>
    <t xml:space="preserve">CA_02, CA_04</t>
  </si>
  <si>
    <t xml:space="preserve">M_10</t>
  </si>
  <si>
    <t xml:space="preserve">Test des mises à jour en préproduction</t>
  </si>
  <si>
    <t xml:space="preserve">M_12</t>
  </si>
  <si>
    <t xml:space="preserve">MFA sur les comptes administrateurs</t>
  </si>
  <si>
    <t xml:space="preserve">CA_03, CA_04</t>
  </si>
  <si>
    <t xml:space="preserve">M_13</t>
  </si>
  <si>
    <t xml:space="preserve">Sauvegardes isolées et immuables</t>
  </si>
  <si>
    <t xml:space="preserve">M_14</t>
  </si>
  <si>
    <t xml:space="preserve">EDR et supervision SOC</t>
  </si>
  <si>
    <t xml:space="preserve">CA_03, CA_04, CA_05</t>
  </si>
  <si>
    <t xml:space="preserve">M_15</t>
  </si>
  <si>
    <t xml:space="preserve">Sensibilisation et campagnes de phishing</t>
  </si>
  <si>
    <t xml:space="preserve">M_16</t>
  </si>
  <si>
    <t xml:space="preserve">Plan de crise cyber et notification DORA</t>
  </si>
  <si>
    <t xml:space="preserve">CA_01, CA_02, CA_03, CA_04</t>
  </si>
  <si>
    <t xml:space="preserve">M_17</t>
  </si>
  <si>
    <t xml:space="preserve">KYC renforcé (liveness / détection deepfake)</t>
  </si>
  <si>
    <t xml:space="preserve">M_18</t>
  </si>
  <si>
    <t xml:space="preserve">Plafonds réduits et surveillance des nouveaux comptes</t>
  </si>
  <si>
    <t xml:space="preserve">CA_06, CA_07</t>
  </si>
  <si>
    <t xml:space="preserve">M_19</t>
  </si>
  <si>
    <t xml:space="preserve">Surveillance LCB-FT et déclarations Tracfin</t>
  </si>
  <si>
    <t xml:space="preserve">CA_01, CA_05, CA_06, CA_07</t>
  </si>
  <si>
    <t xml:space="preserve">M_20</t>
  </si>
  <si>
    <t xml:space="preserve">Campagnes contre le recrutement de mules</t>
  </si>
  <si>
    <t xml:space="preserve">CA_01, CA_06, CA_07</t>
  </si>
  <si>
    <t xml:space="preserve">M_21</t>
  </si>
  <si>
    <t xml:space="preserve">Cyber-assurance</t>
  </si>
  <si>
    <t xml:space="preserve">M_22</t>
  </si>
  <si>
    <t xml:space="preserve">Revue des habilitations et séparation des tâches</t>
  </si>
  <si>
    <t xml:space="preserve">M_23</t>
  </si>
  <si>
    <t xml:space="preserve">Journalisation et surveillance des actions privilégiées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</si>
</sst>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9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24"/>
    <col collapsed="false" customWidth="true" hidden="false" outlineLevel="0" max="13" min="13" style="0" width="22"/>
    <col collapsed="false" customWidth="true" hidden="false" outlineLevel="0" max="14" min="14" style="0" width="70"/>
  </cols>
  <sheetData>
    <row r="1" customFormat="false" ht="39.5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</row>
    <row r="2" customFormat="false" ht="35.05" hidden="false" customHeight="false" outlineLevel="0" collapsed="false">
      <c r="A2" s="4" t="s">
        <v>18</v>
      </c>
      <c r="B2" s="4" t="s">
        <v>19</v>
      </c>
      <c r="C2" s="5" t="n">
        <v>4</v>
      </c>
      <c r="D2" s="5" t="n">
        <v>4</v>
      </c>
      <c r="E2" s="4" t="str">
        <f aca="false">IF(C2+D2&gt;=7,"Élevé",IF(C2+D2&gt;=5,"Moyen","Faible"))</f>
        <v>Élevé</v>
      </c>
      <c r="F2" s="4" t="s">
        <v>20</v>
      </c>
      <c r="G2" s="4" t="s">
        <v>21</v>
      </c>
      <c r="H2" s="4" t="s">
        <v>22</v>
      </c>
      <c r="I2" s="5" t="n">
        <v>2</v>
      </c>
      <c r="J2" s="5" t="n">
        <v>3</v>
      </c>
      <c r="K2" s="4" t="str">
        <f aca="false">IF(I2+J2&gt;=7,"Élevé",IF(I2+J2&gt;=5,"Moyen","Faible"))</f>
        <v>Moyen</v>
      </c>
      <c r="L2" s="4" t="s">
        <v>23</v>
      </c>
      <c r="M2" s="4" t="s">
        <v>24</v>
      </c>
      <c r="N2" s="4" t="s">
        <v>25</v>
      </c>
    </row>
    <row r="3" customFormat="false" ht="35.05" hidden="false" customHeight="false" outlineLevel="0" collapsed="false">
      <c r="A3" s="4" t="s">
        <v>26</v>
      </c>
      <c r="B3" s="4" t="s">
        <v>27</v>
      </c>
      <c r="C3" s="5" t="n">
        <v>2</v>
      </c>
      <c r="D3" s="5" t="n">
        <v>4</v>
      </c>
      <c r="E3" s="4" t="str">
        <f aca="false">IF(C3+D3&gt;=7,"Élevé",IF(C3+D3&gt;=5,"Moyen","Faible"))</f>
        <v>Moyen</v>
      </c>
      <c r="F3" s="4" t="s">
        <v>28</v>
      </c>
      <c r="G3" s="4" t="s">
        <v>29</v>
      </c>
      <c r="H3" s="4" t="s">
        <v>30</v>
      </c>
      <c r="I3" s="5" t="n">
        <v>2</v>
      </c>
      <c r="J3" s="5" t="n">
        <v>3</v>
      </c>
      <c r="K3" s="4" t="str">
        <f aca="false">IF(I3+J3&gt;=7,"Élevé",IF(I3+J3&gt;=5,"Moyen","Faible"))</f>
        <v>Moyen</v>
      </c>
      <c r="L3" s="4" t="s">
        <v>31</v>
      </c>
      <c r="M3" s="4" t="s">
        <v>24</v>
      </c>
      <c r="N3" s="4" t="s">
        <v>32</v>
      </c>
    </row>
    <row r="4" customFormat="false" ht="35.05" hidden="false" customHeight="false" outlineLevel="0" collapsed="false">
      <c r="A4" s="4" t="s">
        <v>33</v>
      </c>
      <c r="B4" s="4" t="s">
        <v>34</v>
      </c>
      <c r="C4" s="5" t="n">
        <v>3</v>
      </c>
      <c r="D4" s="5" t="n">
        <v>4</v>
      </c>
      <c r="E4" s="4" t="str">
        <f aca="false">IF(C4+D4&gt;=7,"Élevé",IF(C4+D4&gt;=5,"Moyen","Faible"))</f>
        <v>Élevé</v>
      </c>
      <c r="F4" s="4" t="s">
        <v>20</v>
      </c>
      <c r="G4" s="4" t="s">
        <v>29</v>
      </c>
      <c r="H4" s="4" t="s">
        <v>35</v>
      </c>
      <c r="I4" s="5" t="n">
        <v>1</v>
      </c>
      <c r="J4" s="5" t="n">
        <v>3</v>
      </c>
      <c r="K4" s="4" t="str">
        <f aca="false">IF(I4+J4&gt;=7,"Élevé",IF(I4+J4&gt;=5,"Moyen","Faible"))</f>
        <v>Faible</v>
      </c>
      <c r="L4" s="4" t="s">
        <v>31</v>
      </c>
      <c r="M4" s="4" t="s">
        <v>24</v>
      </c>
      <c r="N4" s="4" t="s">
        <v>36</v>
      </c>
    </row>
    <row r="5" customFormat="false" ht="35.05" hidden="false" customHeight="false" outlineLevel="0" collapsed="false">
      <c r="A5" s="4" t="s">
        <v>37</v>
      </c>
      <c r="B5" s="4" t="s">
        <v>38</v>
      </c>
      <c r="C5" s="5" t="n">
        <v>2</v>
      </c>
      <c r="D5" s="5" t="n">
        <v>4</v>
      </c>
      <c r="E5" s="4" t="str">
        <f aca="false">IF(C5+D5&gt;=7,"Élevé",IF(C5+D5&gt;=5,"Moyen","Faible"))</f>
        <v>Moyen</v>
      </c>
      <c r="F5" s="4" t="s">
        <v>20</v>
      </c>
      <c r="G5" s="4" t="s">
        <v>29</v>
      </c>
      <c r="H5" s="4" t="s">
        <v>39</v>
      </c>
      <c r="I5" s="5" t="n">
        <v>1</v>
      </c>
      <c r="J5" s="5" t="n">
        <v>3</v>
      </c>
      <c r="K5" s="4" t="str">
        <f aca="false">IF(I5+J5&gt;=7,"Élevé",IF(I5+J5&gt;=5,"Moyen","Faible"))</f>
        <v>Faible</v>
      </c>
      <c r="L5" s="4" t="s">
        <v>31</v>
      </c>
      <c r="M5" s="4" t="s">
        <v>24</v>
      </c>
      <c r="N5" s="4" t="s">
        <v>40</v>
      </c>
    </row>
    <row r="6" customFormat="false" ht="35.05" hidden="false" customHeight="false" outlineLevel="0" collapsed="false">
      <c r="A6" s="4" t="s">
        <v>41</v>
      </c>
      <c r="B6" s="4" t="s">
        <v>42</v>
      </c>
      <c r="C6" s="5" t="n">
        <v>3</v>
      </c>
      <c r="D6" s="5" t="n">
        <v>4</v>
      </c>
      <c r="E6" s="4" t="str">
        <f aca="false">IF(C6+D6&gt;=7,"Élevé",IF(C6+D6&gt;=5,"Moyen","Faible"))</f>
        <v>Élevé</v>
      </c>
      <c r="F6" s="4" t="s">
        <v>20</v>
      </c>
      <c r="G6" s="4" t="s">
        <v>29</v>
      </c>
      <c r="H6" s="4" t="s">
        <v>43</v>
      </c>
      <c r="I6" s="5" t="n">
        <v>2</v>
      </c>
      <c r="J6" s="5" t="n">
        <v>3</v>
      </c>
      <c r="K6" s="4" t="str">
        <f aca="false">IF(I6+J6&gt;=7,"Élevé",IF(I6+J6&gt;=5,"Moyen","Faible"))</f>
        <v>Moyen</v>
      </c>
      <c r="L6" s="4" t="s">
        <v>44</v>
      </c>
      <c r="M6" s="4" t="s">
        <v>24</v>
      </c>
      <c r="N6" s="4" t="s">
        <v>45</v>
      </c>
    </row>
    <row r="7" customFormat="false" ht="23.85" hidden="false" customHeight="false" outlineLevel="0" collapsed="false">
      <c r="A7" s="4" t="s">
        <v>46</v>
      </c>
      <c r="B7" s="4" t="s">
        <v>47</v>
      </c>
      <c r="C7" s="5" t="n">
        <v>3</v>
      </c>
      <c r="D7" s="5" t="n">
        <v>4</v>
      </c>
      <c r="E7" s="4" t="str">
        <f aca="false">IF(C7+D7&gt;=7,"Élevé",IF(C7+D7&gt;=5,"Moyen","Faible"))</f>
        <v>Élevé</v>
      </c>
      <c r="F7" s="4" t="s">
        <v>20</v>
      </c>
      <c r="G7" s="4" t="s">
        <v>29</v>
      </c>
      <c r="H7" s="4" t="s">
        <v>48</v>
      </c>
      <c r="I7" s="5" t="n">
        <v>2</v>
      </c>
      <c r="J7" s="5" t="n">
        <v>3</v>
      </c>
      <c r="K7" s="4" t="str">
        <f aca="false">IF(I7+J7&gt;=7,"Élevé",IF(I7+J7&gt;=5,"Moyen","Faible"))</f>
        <v>Moyen</v>
      </c>
      <c r="L7" s="4" t="s">
        <v>44</v>
      </c>
      <c r="M7" s="4" t="s">
        <v>24</v>
      </c>
      <c r="N7" s="4" t="s">
        <v>49</v>
      </c>
    </row>
    <row r="8" customFormat="false" ht="35.05" hidden="false" customHeight="false" outlineLevel="0" collapsed="false">
      <c r="A8" s="4" t="s">
        <v>50</v>
      </c>
      <c r="B8" s="4" t="s">
        <v>51</v>
      </c>
      <c r="C8" s="5" t="n">
        <v>4</v>
      </c>
      <c r="D8" s="5" t="n">
        <v>4</v>
      </c>
      <c r="E8" s="4" t="str">
        <f aca="false">IF(C8+D8&gt;=7,"Élevé",IF(C8+D8&gt;=5,"Moyen","Faible"))</f>
        <v>Élevé</v>
      </c>
      <c r="F8" s="4" t="s">
        <v>20</v>
      </c>
      <c r="G8" s="4" t="s">
        <v>21</v>
      </c>
      <c r="H8" s="4" t="s">
        <v>52</v>
      </c>
      <c r="I8" s="5" t="n">
        <v>2</v>
      </c>
      <c r="J8" s="5" t="n">
        <v>3</v>
      </c>
      <c r="K8" s="4" t="str">
        <f aca="false">IF(I8+J8&gt;=7,"Élevé",IF(I8+J8&gt;=5,"Moyen","Faible"))</f>
        <v>Moyen</v>
      </c>
      <c r="L8" s="4" t="s">
        <v>44</v>
      </c>
      <c r="M8" s="4" t="s">
        <v>24</v>
      </c>
      <c r="N8" s="4" t="s">
        <v>53</v>
      </c>
    </row>
  </sheetData>
  <conditionalFormatting sqref="E2:E8">
    <cfRule type="expression" priority="2" aboveAverage="0" equalAverage="0" bottom="0" percent="0" rank="0" text="" dxfId="0">
      <formula>$E2="Élevé"</formula>
    </cfRule>
    <cfRule type="expression" priority="3" aboveAverage="0" equalAverage="0" bottom="0" percent="0" rank="0" text="" dxfId="1">
      <formula>$E2="Moyen"</formula>
    </cfRule>
    <cfRule type="expression" priority="4" aboveAverage="0" equalAverage="0" bottom="0" percent="0" rank="0" text="" dxfId="2">
      <formula>$E2="Faible"</formula>
    </cfRule>
  </conditionalFormatting>
  <conditionalFormatting sqref="K2:K8">
    <cfRule type="expression" priority="5" aboveAverage="0" equalAverage="0" bottom="0" percent="0" rank="0" text="" dxfId="0">
      <formula>$K2="Élevé"</formula>
    </cfRule>
    <cfRule type="expression" priority="6" aboveAverage="0" equalAverage="0" bottom="0" percent="0" rank="0" text="" dxfId="1">
      <formula>$K2="Moyen"</formula>
    </cfRule>
    <cfRule type="expression" priority="7" aboveAverage="0" equalAverage="0" bottom="0" percent="0" rank="0" text="" dxfId="2">
      <formula>$K2="Faible"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3" t="s">
        <v>54</v>
      </c>
      <c r="B1" s="3" t="s">
        <v>55</v>
      </c>
      <c r="C1" s="3" t="s">
        <v>56</v>
      </c>
    </row>
    <row r="2" customFormat="false" ht="15" hidden="false" customHeight="false" outlineLevel="0" collapsed="false">
      <c r="A2" s="4" t="s">
        <v>57</v>
      </c>
      <c r="B2" s="4" t="n">
        <f aca="false">COUNTIF('Traitement des risques'!$E$2:$E$8,A2)</f>
        <v>5</v>
      </c>
      <c r="C2" s="4" t="n">
        <f aca="false">COUNTIF('Traitement des risques'!$K$2:$K$8,A2)</f>
        <v>0</v>
      </c>
    </row>
    <row r="3" customFormat="false" ht="15" hidden="false" customHeight="false" outlineLevel="0" collapsed="false">
      <c r="A3" s="4" t="s">
        <v>58</v>
      </c>
      <c r="B3" s="4" t="n">
        <f aca="false">COUNTIF('Traitement des risques'!$E$2:$E$8,A3)</f>
        <v>2</v>
      </c>
      <c r="C3" s="4" t="n">
        <f aca="false">COUNTIF('Traitement des risques'!$K$2:$K$8,A3)</f>
        <v>5</v>
      </c>
    </row>
    <row r="4" customFormat="false" ht="15" hidden="false" customHeight="false" outlineLevel="0" collapsed="false">
      <c r="A4" s="4" t="s">
        <v>59</v>
      </c>
      <c r="B4" s="4" t="n">
        <f aca="false">COUNTIF('Traitement des risques'!$E$2:$E$8,A4)</f>
        <v>0</v>
      </c>
      <c r="C4" s="4" t="n">
        <f aca="false">COUNTIF('Traitement des risques'!$K$2:$K$8,A4)</f>
        <v>2</v>
      </c>
    </row>
    <row r="5" customFormat="false" ht="15" hidden="false" customHeight="false" outlineLevel="0" collapsed="false">
      <c r="A5" s="6" t="s">
        <v>60</v>
      </c>
      <c r="B5" s="6" t="n">
        <f aca="false">SUM(B2:B4)</f>
        <v>7</v>
      </c>
      <c r="C5" s="6" t="n">
        <f aca="false">SUM(C2:C4)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3" t="s">
        <v>61</v>
      </c>
      <c r="B1" s="3" t="s">
        <v>62</v>
      </c>
      <c r="C1" s="3" t="s">
        <v>63</v>
      </c>
    </row>
    <row r="2" customFormat="false" ht="15" hidden="false" customHeight="false" outlineLevel="0" collapsed="false">
      <c r="A2" s="4" t="s">
        <v>21</v>
      </c>
      <c r="B2" s="4" t="s">
        <v>64</v>
      </c>
      <c r="C2" s="4" t="s">
        <v>65</v>
      </c>
    </row>
    <row r="3" customFormat="false" ht="15" hidden="false" customHeight="false" outlineLevel="0" collapsed="false">
      <c r="A3" s="4" t="s">
        <v>66</v>
      </c>
      <c r="B3" s="4" t="s">
        <v>67</v>
      </c>
      <c r="C3" s="4" t="s">
        <v>18</v>
      </c>
    </row>
    <row r="4" customFormat="false" ht="15" hidden="false" customHeight="false" outlineLevel="0" collapsed="false">
      <c r="A4" s="4" t="s">
        <v>68</v>
      </c>
      <c r="B4" s="4" t="s">
        <v>69</v>
      </c>
      <c r="C4" s="4" t="s">
        <v>65</v>
      </c>
    </row>
    <row r="5" customFormat="false" ht="15" hidden="false" customHeight="false" outlineLevel="0" collapsed="false">
      <c r="A5" s="4" t="s">
        <v>70</v>
      </c>
      <c r="B5" s="4" t="s">
        <v>71</v>
      </c>
      <c r="C5" s="4" t="s">
        <v>18</v>
      </c>
    </row>
    <row r="6" customFormat="false" ht="15" hidden="false" customHeight="false" outlineLevel="0" collapsed="false">
      <c r="A6" s="4" t="s">
        <v>72</v>
      </c>
      <c r="B6" s="4" t="s">
        <v>73</v>
      </c>
      <c r="C6" s="4" t="s">
        <v>18</v>
      </c>
    </row>
    <row r="7" customFormat="false" ht="15" hidden="false" customHeight="false" outlineLevel="0" collapsed="false">
      <c r="A7" s="4" t="s">
        <v>74</v>
      </c>
      <c r="B7" s="4" t="s">
        <v>75</v>
      </c>
      <c r="C7" s="4" t="s">
        <v>41</v>
      </c>
    </row>
    <row r="8" customFormat="false" ht="15" hidden="false" customHeight="false" outlineLevel="0" collapsed="false">
      <c r="A8" s="4" t="s">
        <v>76</v>
      </c>
      <c r="B8" s="4" t="s">
        <v>77</v>
      </c>
      <c r="C8" s="4" t="s">
        <v>41</v>
      </c>
    </row>
    <row r="9" customFormat="false" ht="15" hidden="false" customHeight="false" outlineLevel="0" collapsed="false">
      <c r="A9" s="4" t="s">
        <v>78</v>
      </c>
      <c r="B9" s="4" t="s">
        <v>79</v>
      </c>
      <c r="C9" s="4" t="s">
        <v>41</v>
      </c>
    </row>
    <row r="10" customFormat="false" ht="15" hidden="false" customHeight="false" outlineLevel="0" collapsed="false">
      <c r="A10" s="4" t="s">
        <v>80</v>
      </c>
      <c r="B10" s="4" t="s">
        <v>81</v>
      </c>
      <c r="C10" s="4" t="s">
        <v>82</v>
      </c>
    </row>
    <row r="11" customFormat="false" ht="15" hidden="false" customHeight="false" outlineLevel="0" collapsed="false">
      <c r="A11" s="4" t="s">
        <v>83</v>
      </c>
      <c r="B11" s="4" t="s">
        <v>84</v>
      </c>
      <c r="C11" s="4" t="s">
        <v>37</v>
      </c>
    </row>
    <row r="12" customFormat="false" ht="15" hidden="false" customHeight="false" outlineLevel="0" collapsed="false">
      <c r="A12" s="4" t="s">
        <v>85</v>
      </c>
      <c r="B12" s="4" t="s">
        <v>86</v>
      </c>
      <c r="C12" s="4" t="s">
        <v>87</v>
      </c>
    </row>
    <row r="13" customFormat="false" ht="15" hidden="false" customHeight="false" outlineLevel="0" collapsed="false">
      <c r="A13" s="4" t="s">
        <v>88</v>
      </c>
      <c r="B13" s="4" t="s">
        <v>89</v>
      </c>
      <c r="C13" s="4" t="s">
        <v>87</v>
      </c>
    </row>
    <row r="14" customFormat="false" ht="15" hidden="false" customHeight="false" outlineLevel="0" collapsed="false">
      <c r="A14" s="4" t="s">
        <v>90</v>
      </c>
      <c r="B14" s="4" t="s">
        <v>91</v>
      </c>
      <c r="C14" s="4" t="s">
        <v>92</v>
      </c>
    </row>
    <row r="15" customFormat="false" ht="15" hidden="false" customHeight="false" outlineLevel="0" collapsed="false">
      <c r="A15" s="4" t="s">
        <v>93</v>
      </c>
      <c r="B15" s="4" t="s">
        <v>94</v>
      </c>
      <c r="C15" s="4" t="s">
        <v>33</v>
      </c>
    </row>
    <row r="16" customFormat="false" ht="15" hidden="false" customHeight="false" outlineLevel="0" collapsed="false">
      <c r="A16" s="4" t="s">
        <v>95</v>
      </c>
      <c r="B16" s="4" t="s">
        <v>96</v>
      </c>
      <c r="C16" s="4" t="s">
        <v>97</v>
      </c>
    </row>
    <row r="17" customFormat="false" ht="15" hidden="false" customHeight="false" outlineLevel="0" collapsed="false">
      <c r="A17" s="4" t="s">
        <v>98</v>
      </c>
      <c r="B17" s="4" t="s">
        <v>99</v>
      </c>
      <c r="C17" s="4" t="s">
        <v>46</v>
      </c>
    </row>
    <row r="18" customFormat="false" ht="15" hidden="false" customHeight="false" outlineLevel="0" collapsed="false">
      <c r="A18" s="4" t="s">
        <v>100</v>
      </c>
      <c r="B18" s="4" t="s">
        <v>101</v>
      </c>
      <c r="C18" s="4" t="s">
        <v>102</v>
      </c>
    </row>
    <row r="19" customFormat="false" ht="15" hidden="false" customHeight="false" outlineLevel="0" collapsed="false">
      <c r="A19" s="4" t="s">
        <v>103</v>
      </c>
      <c r="B19" s="4" t="s">
        <v>104</v>
      </c>
      <c r="C19" s="4" t="s">
        <v>105</v>
      </c>
    </row>
    <row r="20" customFormat="false" ht="15" hidden="false" customHeight="false" outlineLevel="0" collapsed="false">
      <c r="A20" s="4" t="s">
        <v>106</v>
      </c>
      <c r="B20" s="4" t="s">
        <v>107</v>
      </c>
      <c r="C20" s="4" t="s">
        <v>108</v>
      </c>
    </row>
    <row r="21" customFormat="false" ht="15" hidden="false" customHeight="false" outlineLevel="0" collapsed="false">
      <c r="A21" s="4" t="s">
        <v>109</v>
      </c>
      <c r="B21" s="4" t="s">
        <v>110</v>
      </c>
      <c r="C21" s="4" t="s">
        <v>26</v>
      </c>
    </row>
    <row r="22" customFormat="false" ht="15" hidden="false" customHeight="false" outlineLevel="0" collapsed="false">
      <c r="A22" s="4" t="s">
        <v>111</v>
      </c>
      <c r="B22" s="4" t="s">
        <v>112</v>
      </c>
      <c r="C22" s="4" t="s">
        <v>41</v>
      </c>
    </row>
    <row r="23" customFormat="false" ht="15" hidden="false" customHeight="false" outlineLevel="0" collapsed="false">
      <c r="A23" s="4" t="s">
        <v>113</v>
      </c>
      <c r="B23" s="4" t="s">
        <v>114</v>
      </c>
      <c r="C23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2026-10-21T18:41:13Z</dcterms:created>
  <dc:creator>Ylayann Malouda Ribardiere</dc:creator>
  <dc:description/>
  <dc:language>en-US</dc:language>
  <cp:lastModifiedBy>Ylayann Malouda Ribardiere</cp:lastModifiedBy>
  <dcterms:modified xsi:type="dcterms:W3CDTF">2026-10-21T18:41:13Z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